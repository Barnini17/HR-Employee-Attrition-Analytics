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ni\OneDrive\Documents\HR-Employee-Attrition-Analytics\excel\"/>
    </mc:Choice>
  </mc:AlternateContent>
  <bookViews>
    <workbookView xWindow="0" yWindow="0" windowWidth="17256" windowHeight="5844" activeTab="1"/>
  </bookViews>
  <sheets>
    <sheet name="WA_Fn-UseC_-HR-Employee-Attriti" sheetId="1" r:id="rId1"/>
    <sheet name="HR Dashboard" sheetId="2" r:id="rId2"/>
  </sheets>
  <calcPr calcId="152511"/>
</workbook>
</file>

<file path=xl/calcChain.xml><?xml version="1.0" encoding="utf-8"?>
<calcChain xmlns="http://schemas.openxmlformats.org/spreadsheetml/2006/main">
  <c r="E15" i="2" l="1"/>
  <c r="F15" i="2"/>
  <c r="G15" i="2"/>
  <c r="E16" i="2"/>
  <c r="F16" i="2"/>
  <c r="G16" i="2"/>
  <c r="E17" i="2"/>
  <c r="F17" i="2"/>
  <c r="G17" i="2" s="1"/>
  <c r="E18" i="2"/>
  <c r="F18" i="2"/>
  <c r="G18" i="2"/>
  <c r="E19" i="2"/>
  <c r="F19" i="2"/>
  <c r="G19" i="2"/>
  <c r="E20" i="2"/>
  <c r="G20" i="2" s="1"/>
  <c r="F20" i="2"/>
  <c r="E21" i="2"/>
  <c r="F21" i="2"/>
  <c r="G21" i="2"/>
  <c r="E22" i="2"/>
  <c r="F22" i="2"/>
  <c r="G22" i="2"/>
  <c r="E23" i="2"/>
  <c r="F23" i="2"/>
  <c r="G23" i="2"/>
  <c r="E10" i="2"/>
  <c r="F10" i="2"/>
  <c r="G10" i="2"/>
  <c r="E11" i="2"/>
  <c r="F11" i="2"/>
  <c r="G11" i="2"/>
  <c r="F5" i="2"/>
  <c r="E4" i="2"/>
  <c r="F4" i="2"/>
  <c r="G4" i="2" s="1"/>
  <c r="E5" i="2"/>
  <c r="G5" i="2" s="1"/>
  <c r="E6" i="2"/>
  <c r="F6" i="2"/>
  <c r="G6" i="2" s="1"/>
  <c r="B3" i="2"/>
  <c r="B4" i="2"/>
  <c r="B5" i="2"/>
  <c r="B6" i="2"/>
</calcChain>
</file>

<file path=xl/sharedStrings.xml><?xml version="1.0" encoding="utf-8"?>
<sst xmlns="http://schemas.openxmlformats.org/spreadsheetml/2006/main" count="13296" uniqueCount="68">
  <si>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</si>
  <si>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</si>
  <si>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</si>
  <si>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</si>
  <si>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</si>
  <si>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</si>
  <si>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</si>
  <si>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</si>
  <si>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</si>
  <si>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</si>
  <si>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</si>
  <si>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</si>
  <si>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</si>
  <si>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</si>
  <si>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</si>
  <si>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</si>
  <si>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</si>
  <si>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</si>
  <si>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</si>
  <si>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</si>
  <si>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</si>
  <si>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</si>
  <si>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</si>
  <si>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</si>
  <si>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</si>
  <si>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</si>
  <si>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</si>
  <si>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</si>
  <si>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</si>
  <si>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</si>
  <si>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</si>
  <si>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</si>
  <si>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</si>
  <si>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</si>
  <si>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</si>
  <si>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</si>
  <si>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</si>
  <si>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</si>
  <si>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</si>
  <si>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</si>
  <si>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</si>
  <si>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</si>
  <si>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</si>
  <si>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</si>
  <si>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</si>
  <si>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</si>
  <si>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</si>
  <si>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</si>
  <si>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</si>
  <si>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</si>
  <si>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</si>
  <si>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</si>
  <si>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</si>
  <si>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</si>
  <si>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</si>
  <si>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</si>
  <si>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</si>
  <si>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</si>
  <si>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</si>
  <si>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</si>
  <si>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</si>
  <si>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</si>
  <si>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EMPLOYEE ATTRITION DASHBOARD</t>
  </si>
  <si>
    <t>Total Employees</t>
  </si>
  <si>
    <t>Employees Left</t>
  </si>
  <si>
    <t>Attrition Rate</t>
  </si>
  <si>
    <t>Average Age</t>
  </si>
  <si>
    <t>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</si>
</sst>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Attrition</a:t>
            </a:r>
            <a:r>
              <a:rPr lang="en-US" baseline="0"/>
              <a:t> Rate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Dashboard'!$G$3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Dashboard'!$D$4:$D$6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'HR Dashboard'!$G$4:$G$6</c:f>
              <c:numCache>
                <c:formatCode>0%</c:formatCode>
                <c:ptCount val="3"/>
                <c:pt idx="0">
                  <c:v>0.20627802690582961</c:v>
                </c:pt>
                <c:pt idx="1">
                  <c:v>0.13839750260145681</c:v>
                </c:pt>
                <c:pt idx="2">
                  <c:v>0.19047619047619047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748432"/>
        <c:axId val="306749216"/>
      </c:barChart>
      <c:catAx>
        <c:axId val="30674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49216"/>
        <c:crosses val="autoZero"/>
        <c:auto val="1"/>
        <c:lblAlgn val="ctr"/>
        <c:lblOffset val="100"/>
        <c:noMultiLvlLbl val="0"/>
      </c:catAx>
      <c:valAx>
        <c:axId val="3067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4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Rate by Overtime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Dashboard'!$G$9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Dashboard'!$D$10:$D$11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'HR Dashboard'!$G$10:$G$11</c:f>
              <c:numCache>
                <c:formatCode>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310360"/>
        <c:axId val="397310752"/>
      </c:barChart>
      <c:catAx>
        <c:axId val="39731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10752"/>
        <c:crosses val="autoZero"/>
        <c:auto val="1"/>
        <c:lblAlgn val="ctr"/>
        <c:lblOffset val="100"/>
        <c:noMultiLvlLbl val="0"/>
      </c:catAx>
      <c:valAx>
        <c:axId val="3973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1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Job Role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Dashboard'!$G$14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Dashboard'!$D$15:$D$23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'HR Dashboard'!$G$15:$G$23</c:f>
              <c:numCache>
                <c:formatCode>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390848"/>
        <c:axId val="385387712"/>
      </c:barChart>
      <c:catAx>
        <c:axId val="3853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7712"/>
        <c:crosses val="autoZero"/>
        <c:auto val="1"/>
        <c:lblAlgn val="ctr"/>
        <c:lblOffset val="100"/>
        <c:noMultiLvlLbl val="0"/>
      </c:catAx>
      <c:valAx>
        <c:axId val="385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9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35859</xdr:colOff>
      <xdr:row>1</xdr:row>
      <xdr:rowOff>31377</xdr:rowOff>
    </xdr:from>
    <xdr:to>
      <xdr:col>20</xdr:col>
      <xdr:colOff>340659</xdr:colOff>
      <xdr:row>16</xdr:row>
      <xdr:rowOff>85165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134469</xdr:colOff>
      <xdr:row>17</xdr:row>
      <xdr:rowOff>58271</xdr:rowOff>
    </xdr:from>
    <xdr:to>
      <xdr:col>21</xdr:col>
      <xdr:colOff>421340</xdr:colOff>
      <xdr:row>41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367553</xdr:colOff>
      <xdr:row>24</xdr:row>
      <xdr:rowOff>67234</xdr:rowOff>
    </xdr:from>
    <xdr:to>
      <xdr:col>12</xdr:col>
      <xdr:colOff>62753</xdr:colOff>
      <xdr:row>39</xdr:row>
      <xdr:rowOff>121022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loyeeData" displayName="EmployeeData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sqref="A1:AI1471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9" zoomScale="85" zoomScaleNormal="85" workbookViewId="0">
      <selection activeCell="L37" sqref="L37"/>
    </sheetView>
  </sheetViews>
  <sheetFormatPr defaultRowHeight="14.4" x14ac:dyDescent="0.3"/>
  <cols>
    <col min="1" max="1" width="14.33203125" customWidth="1"/>
  </cols>
  <sheetData>
    <row r="1" spans="1:8" ht="23.4" customHeight="1" x14ac:dyDescent="0.3">
      <c r="A1" s="1" t="s">
        <v>62</v>
      </c>
      <c r="B1" s="1"/>
      <c r="C1" s="1"/>
      <c r="D1" s="1"/>
      <c r="E1" s="1"/>
      <c r="F1" s="1"/>
      <c r="G1" s="1"/>
      <c r="H1" s="1"/>
    </row>
    <row r="3" spans="1:8" x14ac:dyDescent="0.3">
      <c r="A3" t="s">
        <v>63</v>
      </c>
      <c r="B3">
        <f>ROWS(EmployeeData[EmployeeNumber])</f>
        <v>1470</v>
      </c>
      <c r="D3" t="s">
        <v>4</v>
      </c>
      <c r="E3" t="s">
        <v>63</v>
      </c>
      <c r="F3" t="s">
        <v>64</v>
      </c>
      <c r="G3" t="s">
        <v>65</v>
      </c>
    </row>
    <row r="4" spans="1:8" x14ac:dyDescent="0.3">
      <c r="A4" t="s">
        <v>64</v>
      </c>
      <c r="B4">
        <f>COUNTIF(EmployeeData[Attrition],"Yes")</f>
        <v>237</v>
      </c>
      <c r="D4" t="s">
        <v>37</v>
      </c>
      <c r="E4">
        <f>COUNTIF(EmployeeData[Department],D4)</f>
        <v>446</v>
      </c>
      <c r="F4">
        <f>COUNTIFS(EmployeeData[Department],D4,EmployeeData[Attrition],"Yes")</f>
        <v>92</v>
      </c>
      <c r="G4" s="2">
        <f>F4/E4</f>
        <v>0.20627802690582961</v>
      </c>
    </row>
    <row r="5" spans="1:8" x14ac:dyDescent="0.3">
      <c r="A5" t="s">
        <v>65</v>
      </c>
      <c r="B5" s="2">
        <f>COUNTIF(EmployeeData[Attrition],"Yes")/ROWS(EmployeeData[EmployeeNumber])</f>
        <v>0.16122448979591836</v>
      </c>
      <c r="D5" t="s">
        <v>45</v>
      </c>
      <c r="E5">
        <f>COUNTIF(EmployeeData[Department],D5)</f>
        <v>961</v>
      </c>
      <c r="F5">
        <f>COUNTIFS(EmployeeData[Department],D5,EmployeeData[Attrition],"Yes")</f>
        <v>133</v>
      </c>
      <c r="G5" s="2">
        <f t="shared" ref="G5:G6" si="0">F5/E5</f>
        <v>0.13839750260145681</v>
      </c>
    </row>
    <row r="6" spans="1:8" x14ac:dyDescent="0.3">
      <c r="A6" t="s">
        <v>66</v>
      </c>
      <c r="B6">
        <f>AVERAGE(EmployeeData[Age])</f>
        <v>36.923809523809524</v>
      </c>
      <c r="D6" t="s">
        <v>61</v>
      </c>
      <c r="E6">
        <f>COUNTIF(EmployeeData[Department],D6)</f>
        <v>63</v>
      </c>
      <c r="F6">
        <f>COUNTIFS(EmployeeData[Department],D6,EmployeeData[Attrition],"Yes")</f>
        <v>12</v>
      </c>
      <c r="G6" s="2">
        <f t="shared" si="0"/>
        <v>0.19047619047619047</v>
      </c>
    </row>
    <row r="9" spans="1:8" x14ac:dyDescent="0.3">
      <c r="D9" t="s">
        <v>22</v>
      </c>
      <c r="E9" t="s">
        <v>63</v>
      </c>
      <c r="F9" t="s">
        <v>64</v>
      </c>
      <c r="G9" t="s">
        <v>65</v>
      </c>
    </row>
    <row r="10" spans="1:8" x14ac:dyDescent="0.3">
      <c r="D10" t="s">
        <v>35</v>
      </c>
      <c r="E10">
        <f>COUNTIF(EmployeeData[OverTime],D10)</f>
        <v>416</v>
      </c>
      <c r="F10">
        <f>COUNTIFS(EmployeeData[OverTime],D10,EmployeeData[Attrition],"Yes")</f>
        <v>127</v>
      </c>
      <c r="G10" s="2">
        <f>F10/E10</f>
        <v>0.30528846153846156</v>
      </c>
    </row>
    <row r="11" spans="1:8" x14ac:dyDescent="0.3">
      <c r="D11" t="s">
        <v>43</v>
      </c>
      <c r="E11">
        <f>COUNTIF(EmployeeData[OverTime],D11)</f>
        <v>1054</v>
      </c>
      <c r="F11">
        <f>COUNTIFS(EmployeeData[OverTime],D11,EmployeeData[Attrition],"Yes")</f>
        <v>110</v>
      </c>
      <c r="G11" s="2">
        <f>F11/E11</f>
        <v>0.10436432637571158</v>
      </c>
    </row>
    <row r="14" spans="1:8" x14ac:dyDescent="0.3">
      <c r="D14" t="s">
        <v>67</v>
      </c>
      <c r="E14" t="s">
        <v>63</v>
      </c>
      <c r="F14" t="s">
        <v>64</v>
      </c>
      <c r="G14" t="s">
        <v>65</v>
      </c>
    </row>
    <row r="15" spans="1:8" x14ac:dyDescent="0.3">
      <c r="D15" t="s">
        <v>57</v>
      </c>
      <c r="E15">
        <f>COUNTIF(EmployeeData[JobRole],D15)</f>
        <v>83</v>
      </c>
      <c r="F15">
        <f>COUNTIFS(EmployeeData[JobRole],D15,EmployeeData[Attrition],"Yes")</f>
        <v>33</v>
      </c>
      <c r="G15" s="2">
        <f>F15/E15</f>
        <v>0.39759036144578314</v>
      </c>
    </row>
    <row r="16" spans="1:8" x14ac:dyDescent="0.3">
      <c r="D16" t="s">
        <v>50</v>
      </c>
      <c r="E16">
        <f>COUNTIF(EmployeeData[JobRole],D16)</f>
        <v>259</v>
      </c>
      <c r="F16">
        <f>COUNTIFS(EmployeeData[JobRole],D16,EmployeeData[Attrition],"Yes")</f>
        <v>62</v>
      </c>
      <c r="G16" s="2">
        <f>F16/E16</f>
        <v>0.23938223938223938</v>
      </c>
    </row>
    <row r="17" spans="4:7" x14ac:dyDescent="0.3">
      <c r="D17" t="s">
        <v>61</v>
      </c>
      <c r="E17">
        <f>COUNTIF(EmployeeData[JobRole],D17)</f>
        <v>52</v>
      </c>
      <c r="F17">
        <f>COUNTIFS(EmployeeData[JobRole],D17,EmployeeData[Attrition],"Yes")</f>
        <v>12</v>
      </c>
      <c r="G17" s="2">
        <f>F17/E17</f>
        <v>0.23076923076923078</v>
      </c>
    </row>
    <row r="18" spans="4:7" x14ac:dyDescent="0.3">
      <c r="D18" t="s">
        <v>40</v>
      </c>
      <c r="E18">
        <f>COUNTIF(EmployeeData[JobRole],D18)</f>
        <v>326</v>
      </c>
      <c r="F18">
        <f>COUNTIFS(EmployeeData[JobRole],D18,EmployeeData[Attrition],"Yes")</f>
        <v>57</v>
      </c>
      <c r="G18" s="2">
        <f>F18/E18</f>
        <v>0.17484662576687116</v>
      </c>
    </row>
    <row r="19" spans="4:7" x14ac:dyDescent="0.3">
      <c r="D19" t="s">
        <v>47</v>
      </c>
      <c r="E19">
        <f>COUNTIF(EmployeeData[JobRole],D19)</f>
        <v>292</v>
      </c>
      <c r="F19">
        <f>COUNTIFS(EmployeeData[JobRole],D19,EmployeeData[Attrition],"Yes")</f>
        <v>47</v>
      </c>
      <c r="G19" s="2">
        <f>F19/E19</f>
        <v>0.16095890410958905</v>
      </c>
    </row>
    <row r="20" spans="4:7" x14ac:dyDescent="0.3">
      <c r="D20" t="s">
        <v>53</v>
      </c>
      <c r="E20">
        <f>COUNTIF(EmployeeData[JobRole],D20)</f>
        <v>145</v>
      </c>
      <c r="F20">
        <f>COUNTIFS(EmployeeData[JobRole],D20,EmployeeData[Attrition],"Yes")</f>
        <v>10</v>
      </c>
      <c r="G20" s="2">
        <f>F20/E20</f>
        <v>6.8965517241379309E-2</v>
      </c>
    </row>
    <row r="21" spans="4:7" x14ac:dyDescent="0.3">
      <c r="D21" t="s">
        <v>54</v>
      </c>
      <c r="E21">
        <f>COUNTIF(EmployeeData[JobRole],D21)</f>
        <v>131</v>
      </c>
      <c r="F21">
        <f>COUNTIFS(EmployeeData[JobRole],D21,EmployeeData[Attrition],"Yes")</f>
        <v>9</v>
      </c>
      <c r="G21" s="2">
        <f>F21/E21</f>
        <v>6.8702290076335881E-2</v>
      </c>
    </row>
    <row r="22" spans="4:7" x14ac:dyDescent="0.3">
      <c r="D22" t="s">
        <v>56</v>
      </c>
      <c r="E22">
        <f>COUNTIF(EmployeeData[JobRole],D22)</f>
        <v>102</v>
      </c>
      <c r="F22">
        <f>COUNTIFS(EmployeeData[JobRole],D22,EmployeeData[Attrition],"Yes")</f>
        <v>5</v>
      </c>
      <c r="G22" s="2">
        <f>F22/E22</f>
        <v>4.9019607843137254E-2</v>
      </c>
    </row>
    <row r="23" spans="4:7" x14ac:dyDescent="0.3">
      <c r="D23" t="s">
        <v>58</v>
      </c>
      <c r="E23">
        <f>COUNTIF(EmployeeData[JobRole],D23)</f>
        <v>80</v>
      </c>
      <c r="F23">
        <f>COUNTIFS(EmployeeData[JobRole],D23,EmployeeData[Attrition],"Yes")</f>
        <v>2</v>
      </c>
      <c r="G23" s="2">
        <f>F23/E23</f>
        <v>2.5000000000000001E-2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HR 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Barnini Dutta Gupta</dc:creator>
  <cp:lastModifiedBy>Barnini Dutta Gupta</cp:lastModifiedBy>
  <dcterms:created xsi:type="dcterms:W3CDTF">2026-09-07T19:31:33Z</dcterms:created>
  <dcterms:modified xsi:type="dcterms:W3CDTF">2026-09-07T21:53:50Z</dcterms:modified>
</cp:coreProperties>
</file>